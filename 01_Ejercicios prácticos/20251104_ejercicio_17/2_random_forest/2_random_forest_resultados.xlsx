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2B.651-Ciencia-de-datos/01_Ejercicios prácticos/20251104_ejercicio_17/2_random_forest/"/>
    </mc:Choice>
  </mc:AlternateContent>
  <xr:revisionPtr revIDLastSave="0" documentId="13_ncr:1_{504865FC-21DB-384D-B3F4-408EFAF7BA61}" xr6:coauthVersionLast="47" xr6:coauthVersionMax="47" xr10:uidLastSave="{00000000-0000-0000-0000-000000000000}"/>
  <bookViews>
    <workbookView xWindow="120" yWindow="760" windowWidth="21260" windowHeight="17440" xr2:uid="{00000000-000D-0000-FFFF-FFFF00000000}"/>
  </bookViews>
  <sheets>
    <sheet name="resultados" sheetId="1" r:id="rId1"/>
    <sheet name="accuracy" sheetId="2" r:id="rId2"/>
    <sheet name="matriz_confusion" sheetId="3" r:id="rId3"/>
    <sheet name="metricas_cla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</calcChain>
</file>

<file path=xl/sharedStrings.xml><?xml version="1.0" encoding="utf-8"?>
<sst xmlns="http://schemas.openxmlformats.org/spreadsheetml/2006/main" count="329" uniqueCount="88">
  <si>
    <t>id</t>
  </si>
  <si>
    <t>contexto</t>
  </si>
  <si>
    <t>texto</t>
  </si>
  <si>
    <t>etiqueta_real</t>
  </si>
  <si>
    <t>tipo_caso</t>
  </si>
  <si>
    <t>notas</t>
  </si>
  <si>
    <t>pred_random_forest</t>
  </si>
  <si>
    <t>prob_positivo</t>
  </si>
  <si>
    <t>prob_negativo</t>
  </si>
  <si>
    <t>prob_neutro</t>
  </si>
  <si>
    <t>confianza</t>
  </si>
  <si>
    <t>Restaurante</t>
  </si>
  <si>
    <t>La comida estuvo deliciosa, el servicio excelente y el ambiente perfecto. Totalmente recomendado.</t>
  </si>
  <si>
    <t>positivo</t>
  </si>
  <si>
    <t>claro_positivo</t>
  </si>
  <si>
    <t>Increíble experiencia culinaria. Los platillos superaron mis expectativas. Volveré sin duda.</t>
  </si>
  <si>
    <t>Excelente atención del personal y la comida llegó rápido y caliente. Muy satisfecho.</t>
  </si>
  <si>
    <t>Me encantó todo, desde la entrada hasta el postre. Precios justos y gran calidad.</t>
  </si>
  <si>
    <t>¡Wow! El mejor restaurante al que he ido en mucho tiempo. Todo perfecto.</t>
  </si>
  <si>
    <t>Pésimo servicio, la comida llegó fría y el mesero fue grosero. No vuelvo más.</t>
  </si>
  <si>
    <t>negativo</t>
  </si>
  <si>
    <t>claro_negativo</t>
  </si>
  <si>
    <t>Una hora esperando y cuando llegó la comida estaba horrible. Muy decepcionado.</t>
  </si>
  <si>
    <t>Carísimo para lo que ofrecen. La comida es mediocre y el lugar estaba sucio.</t>
  </si>
  <si>
    <t>La peor experiencia gastronómica de mi vida. No lo recomiendo para nada.</t>
  </si>
  <si>
    <t>neutro</t>
  </si>
  <si>
    <t>El personal parecía molesto por atendernos. La comida sin sabor y cara.</t>
  </si>
  <si>
    <t>Un restaurante normal. La comida está bien, nada extraordinario pero cumple.</t>
  </si>
  <si>
    <t>claro_neutro</t>
  </si>
  <si>
    <t>Es un lugar promedio. Ni bueno ni malo, sirve para salir del paso.</t>
  </si>
  <si>
    <t>Genial, justo lo que quería: esperar dos horas para comer algo frío.</t>
  </si>
  <si>
    <t>sarcasmo</t>
  </si>
  <si>
    <t>Qué maravilla de restaurante, me encanta pagar mucho por comida mala.</t>
  </si>
  <si>
    <t>La comida está rica pero el servicio es lentísimo y los precios muy altos.</t>
  </si>
  <si>
    <t>mixto</t>
  </si>
  <si>
    <t>Producto Tech</t>
  </si>
  <si>
    <t>Excelente producto, funciona perfecto y llegó antes de tiempo. Muy recomendable.</t>
  </si>
  <si>
    <t>La mejor compra que he hecho. Calidad increíble y precio justo.</t>
  </si>
  <si>
    <t>Superó mis expectativas por completo. Funciona de maravilla y es muy intuitivo.</t>
  </si>
  <si>
    <t>100% satisfecho con mi compra. Llevo un mes usándolo sin problemas.</t>
  </si>
  <si>
    <t>Producto de alta calidad. Vale cada peso. Lo recomiendo ampliamente.</t>
  </si>
  <si>
    <t>No funciona como prometen. Me arrepiento de la compra, es una estafa.</t>
  </si>
  <si>
    <t>Pésima calidad, se descompuso a la semana. No lo compren.</t>
  </si>
  <si>
    <t>Horrible producto. No sirve para nada y el soporte técnico es inexistente.</t>
  </si>
  <si>
    <t>Basura total. No cumple con ninguna de las especificaciones anunciadas.</t>
  </si>
  <si>
    <t>Me llegó defectuoso y nadie responde para hacer la devolución. Fatal.</t>
  </si>
  <si>
    <t>Es un producto básico que cumple su función. Nada especial pero funciona.</t>
  </si>
  <si>
    <t>Ni bueno ni malo. Hace lo que tiene que hacer, sin más.</t>
  </si>
  <si>
    <t>Perfecto, me encanta cuando los productos no funcionan al sacarlos de la caja.</t>
  </si>
  <si>
    <t>Fantástico, justo necesitaba algo que se rompiera en una semana.</t>
  </si>
  <si>
    <t>El producto es bueno pero llegó tarde y el empaque venía dañado.</t>
  </si>
  <si>
    <t>Servicio</t>
  </si>
  <si>
    <t>Servicio impecable. Muy profesionales y resolvieron mi problema rápidamente.</t>
  </si>
  <si>
    <t>Excelente atención al cliente. Me ayudaron en todo momento. Muy agradecido.</t>
  </si>
  <si>
    <t>Súper eficientes y amables. El mejor servicio que he recibido.</t>
  </si>
  <si>
    <t>Quedé muy satisfecho con el trabajo realizado. Altamente recomendable.</t>
  </si>
  <si>
    <t>Profesionales de primera. Cumplieron todo lo prometido y más.</t>
  </si>
  <si>
    <t>Pésimo servicio. No resolvieron nada y además fueron groseros.</t>
  </si>
  <si>
    <t>Nunca contestaron mis llamadas. Servicio al cliente inexistente. Terrible.</t>
  </si>
  <si>
    <t>Me cobraron de más y cuando reclamé me colgaron el teléfono. Indignante.</t>
  </si>
  <si>
    <t>El peor servicio que he contratado. Llegaron tarde y el trabajo quedó mal.</t>
  </si>
  <si>
    <t>No lo recomiendo. Son poco profesionales y el servicio es malísimo.</t>
  </si>
  <si>
    <t>Servicio regular. Cumplieron pero sin nada destacable.</t>
  </si>
  <si>
    <t>Normal. Hicieron lo básico que pedí, nada más.</t>
  </si>
  <si>
    <t>Increíble servicio, me encanta que me dejen esperando tres horas sin avisar.</t>
  </si>
  <si>
    <t>Qué atención tan maravillosa, ignorar a los clientes es su especialidad.</t>
  </si>
  <si>
    <t>El trabajo quedó bien pero tardaron el doble de lo acordado.</t>
  </si>
  <si>
    <t>App/Software</t>
  </si>
  <si>
    <t>App excelente, muy intuitiva y rápida. La uso todos los días.</t>
  </si>
  <si>
    <t>La mejor aplicación en su categoría. Funciona perfecto y sin bugs.</t>
  </si>
  <si>
    <t>Me encanta esta app. Interface limpia y cumple perfectamente su función.</t>
  </si>
  <si>
    <t>Súper útil y bien diseñada. Vale la pena la versión premium.</t>
  </si>
  <si>
    <t>Aplicación fantástica. Ha mejorado mucho mi productividad.</t>
  </si>
  <si>
    <t>App horrible. Se cuelga constantemente y pierde mi información.</t>
  </si>
  <si>
    <t>No sirve. Llena de anuncios y funciona muy mal. La desinstalé.</t>
  </si>
  <si>
    <t>Pésima experiencia. Crashea todo el tiempo y consume mucha batería.</t>
  </si>
  <si>
    <t>Basura de aplicación. No funciona ni la mitad de las funciones.</t>
  </si>
  <si>
    <t>La peor app que he usado. Interface confusa y llena de errores.</t>
  </si>
  <si>
    <t>App normal. Hace lo básico pero nada impresionante.</t>
  </si>
  <si>
    <t>Está bien para uso ocasional. Ni buena ni mala.</t>
  </si>
  <si>
    <t>Genial, me fascina cuando una app se cierra sola cada cinco minutos.</t>
  </si>
  <si>
    <t>Perfecta, justo lo que buscaba: pagar por una app que no funciona.</t>
  </si>
  <si>
    <t>La app tiene buenas funciones pero es muy lenta y tiene muchos anuncios.</t>
  </si>
  <si>
    <t>accuracy</t>
  </si>
  <si>
    <t>total</t>
  </si>
  <si>
    <t>correctos</t>
  </si>
  <si>
    <t>precision</t>
  </si>
  <si>
    <t>igual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</si>
</sst>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B1" zoomScale="158" workbookViewId="0">
      <selection activeCell="L55" sqref="L55"/>
    </sheetView>
  </sheetViews>
  <sheetFormatPr baseColWidth="10" defaultColWidth="8.83203125" defaultRowHeight="15" x14ac:dyDescent="0.2"/>
  <cols>
    <col min="12" max="12" width="10.3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87</v>
      </c>
    </row>
    <row r="2" spans="1:12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G2" t="s">
        <v>13</v>
      </c>
      <c r="H2">
        <v>0.97399999999999998</v>
      </c>
      <c r="I2">
        <v>0.02</v>
      </c>
      <c r="J2">
        <v>6.0000000000000001E-3</v>
      </c>
      <c r="K2">
        <v>0.97399999999999998</v>
      </c>
      <c r="L2" t="b">
        <f>EXACT(G2,D2)</f>
        <v>1</v>
      </c>
    </row>
    <row r="3" spans="1:12" x14ac:dyDescent="0.2">
      <c r="A3">
        <v>2</v>
      </c>
      <c r="B3" t="s">
        <v>11</v>
      </c>
      <c r="C3" t="s">
        <v>15</v>
      </c>
      <c r="D3" t="s">
        <v>13</v>
      </c>
      <c r="E3" t="s">
        <v>14</v>
      </c>
      <c r="G3" t="s">
        <v>13</v>
      </c>
      <c r="H3">
        <v>0.84</v>
      </c>
      <c r="I3">
        <v>3.4000000000000002E-2</v>
      </c>
      <c r="J3">
        <v>0.126</v>
      </c>
      <c r="K3">
        <v>0.84</v>
      </c>
      <c r="L3" t="b">
        <f t="shared" ref="L3:L61" si="0">EXACT(G3,D3)</f>
        <v>1</v>
      </c>
    </row>
    <row r="4" spans="1:12" x14ac:dyDescent="0.2">
      <c r="A4">
        <v>3</v>
      </c>
      <c r="B4" t="s">
        <v>11</v>
      </c>
      <c r="C4" t="s">
        <v>16</v>
      </c>
      <c r="D4" t="s">
        <v>13</v>
      </c>
      <c r="E4" t="s">
        <v>14</v>
      </c>
      <c r="G4" t="s">
        <v>13</v>
      </c>
      <c r="H4">
        <v>0.89600000000000002</v>
      </c>
      <c r="I4">
        <v>5.3999999999999999E-2</v>
      </c>
      <c r="J4">
        <v>0.05</v>
      </c>
      <c r="K4">
        <v>0.89600000000000002</v>
      </c>
      <c r="L4" t="b">
        <f t="shared" si="0"/>
        <v>1</v>
      </c>
    </row>
    <row r="5" spans="1:12" x14ac:dyDescent="0.2">
      <c r="A5">
        <v>4</v>
      </c>
      <c r="B5" t="s">
        <v>11</v>
      </c>
      <c r="C5" t="s">
        <v>17</v>
      </c>
      <c r="D5" t="s">
        <v>13</v>
      </c>
      <c r="E5" t="s">
        <v>14</v>
      </c>
      <c r="G5" t="s">
        <v>13</v>
      </c>
      <c r="H5">
        <v>0.49199999999999999</v>
      </c>
      <c r="I5">
        <v>0.246</v>
      </c>
      <c r="J5">
        <v>0.26200000000000001</v>
      </c>
      <c r="K5">
        <v>0.49199999999999999</v>
      </c>
      <c r="L5" t="b">
        <f t="shared" si="0"/>
        <v>1</v>
      </c>
    </row>
    <row r="6" spans="1:12" x14ac:dyDescent="0.2">
      <c r="A6">
        <v>5</v>
      </c>
      <c r="B6" t="s">
        <v>11</v>
      </c>
      <c r="C6" t="s">
        <v>18</v>
      </c>
      <c r="D6" t="s">
        <v>13</v>
      </c>
      <c r="E6" t="s">
        <v>14</v>
      </c>
      <c r="G6" t="s">
        <v>13</v>
      </c>
      <c r="H6">
        <v>0.748</v>
      </c>
      <c r="I6">
        <v>4.2000000000000003E-2</v>
      </c>
      <c r="J6">
        <v>0.21</v>
      </c>
      <c r="K6">
        <v>0.748</v>
      </c>
      <c r="L6" t="b">
        <f t="shared" si="0"/>
        <v>1</v>
      </c>
    </row>
    <row r="7" spans="1:12" x14ac:dyDescent="0.2">
      <c r="A7">
        <v>6</v>
      </c>
      <c r="B7" t="s">
        <v>11</v>
      </c>
      <c r="C7" t="s">
        <v>19</v>
      </c>
      <c r="D7" t="s">
        <v>20</v>
      </c>
      <c r="E7" t="s">
        <v>21</v>
      </c>
      <c r="G7" t="s">
        <v>20</v>
      </c>
      <c r="H7">
        <v>7.5999999999999998E-2</v>
      </c>
      <c r="I7">
        <v>0.78600000000000003</v>
      </c>
      <c r="J7">
        <v>0.13800000000000001</v>
      </c>
      <c r="K7">
        <v>0.78600000000000003</v>
      </c>
      <c r="L7" t="b">
        <f t="shared" si="0"/>
        <v>1</v>
      </c>
    </row>
    <row r="8" spans="1:12" x14ac:dyDescent="0.2">
      <c r="A8">
        <v>7</v>
      </c>
      <c r="B8" t="s">
        <v>11</v>
      </c>
      <c r="C8" t="s">
        <v>22</v>
      </c>
      <c r="D8" t="s">
        <v>20</v>
      </c>
      <c r="E8" t="s">
        <v>21</v>
      </c>
      <c r="G8" t="s">
        <v>20</v>
      </c>
      <c r="H8">
        <v>5.8000000000000003E-2</v>
      </c>
      <c r="I8">
        <v>0.83399999999999996</v>
      </c>
      <c r="J8">
        <v>0.108</v>
      </c>
      <c r="K8">
        <v>0.83399999999999996</v>
      </c>
      <c r="L8" t="b">
        <f t="shared" si="0"/>
        <v>1</v>
      </c>
    </row>
    <row r="9" spans="1:12" x14ac:dyDescent="0.2">
      <c r="A9">
        <v>8</v>
      </c>
      <c r="B9" t="s">
        <v>11</v>
      </c>
      <c r="C9" t="s">
        <v>23</v>
      </c>
      <c r="D9" t="s">
        <v>20</v>
      </c>
      <c r="E9" t="s">
        <v>21</v>
      </c>
      <c r="G9" t="s">
        <v>20</v>
      </c>
      <c r="H9">
        <v>4.3999999999999997E-2</v>
      </c>
      <c r="I9">
        <v>0.85599999999999998</v>
      </c>
      <c r="J9">
        <v>0.1</v>
      </c>
      <c r="K9">
        <v>0.85599999999999998</v>
      </c>
      <c r="L9" t="b">
        <f t="shared" si="0"/>
        <v>1</v>
      </c>
    </row>
    <row r="10" spans="1:12" x14ac:dyDescent="0.2">
      <c r="A10">
        <v>9</v>
      </c>
      <c r="B10" t="s">
        <v>11</v>
      </c>
      <c r="C10" t="s">
        <v>24</v>
      </c>
      <c r="D10" t="s">
        <v>20</v>
      </c>
      <c r="E10" t="s">
        <v>21</v>
      </c>
      <c r="G10" t="s">
        <v>25</v>
      </c>
      <c r="H10">
        <v>0.28999999999999998</v>
      </c>
      <c r="I10">
        <v>0.316</v>
      </c>
      <c r="J10">
        <v>0.39400000000000002</v>
      </c>
      <c r="K10">
        <v>0.39400000000000002</v>
      </c>
      <c r="L10" t="b">
        <f t="shared" si="0"/>
        <v>0</v>
      </c>
    </row>
    <row r="11" spans="1:12" x14ac:dyDescent="0.2">
      <c r="A11">
        <v>10</v>
      </c>
      <c r="B11" t="s">
        <v>11</v>
      </c>
      <c r="C11" t="s">
        <v>26</v>
      </c>
      <c r="D11" t="s">
        <v>20</v>
      </c>
      <c r="E11" t="s">
        <v>21</v>
      </c>
      <c r="G11" t="s">
        <v>20</v>
      </c>
      <c r="H11">
        <v>0.28199999999999997</v>
      </c>
      <c r="I11">
        <v>0.442</v>
      </c>
      <c r="J11">
        <v>0.27600000000000002</v>
      </c>
      <c r="K11">
        <v>0.442</v>
      </c>
      <c r="L11" t="b">
        <f t="shared" si="0"/>
        <v>1</v>
      </c>
    </row>
    <row r="12" spans="1:12" x14ac:dyDescent="0.2">
      <c r="A12">
        <v>11</v>
      </c>
      <c r="B12" t="s">
        <v>11</v>
      </c>
      <c r="C12" t="s">
        <v>27</v>
      </c>
      <c r="D12" t="s">
        <v>25</v>
      </c>
      <c r="E12" t="s">
        <v>28</v>
      </c>
      <c r="G12" t="s">
        <v>25</v>
      </c>
      <c r="H12">
        <v>0.254</v>
      </c>
      <c r="I12">
        <v>0.12</v>
      </c>
      <c r="J12">
        <v>0.626</v>
      </c>
      <c r="K12">
        <v>0.626</v>
      </c>
      <c r="L12" t="b">
        <f t="shared" si="0"/>
        <v>1</v>
      </c>
    </row>
    <row r="13" spans="1:12" x14ac:dyDescent="0.2">
      <c r="A13">
        <v>12</v>
      </c>
      <c r="B13" t="s">
        <v>11</v>
      </c>
      <c r="C13" t="s">
        <v>29</v>
      </c>
      <c r="D13" t="s">
        <v>25</v>
      </c>
      <c r="E13" t="s">
        <v>28</v>
      </c>
      <c r="G13" t="s">
        <v>25</v>
      </c>
      <c r="H13">
        <v>0.128</v>
      </c>
      <c r="I13">
        <v>0.218</v>
      </c>
      <c r="J13">
        <v>0.65400000000000003</v>
      </c>
      <c r="K13">
        <v>0.65400000000000003</v>
      </c>
      <c r="L13" t="b">
        <f t="shared" si="0"/>
        <v>1</v>
      </c>
    </row>
    <row r="14" spans="1:12" x14ac:dyDescent="0.2">
      <c r="A14">
        <v>13</v>
      </c>
      <c r="B14" t="s">
        <v>11</v>
      </c>
      <c r="C14" t="s">
        <v>30</v>
      </c>
      <c r="D14" t="s">
        <v>20</v>
      </c>
      <c r="E14" t="s">
        <v>31</v>
      </c>
      <c r="G14" t="s">
        <v>25</v>
      </c>
      <c r="H14">
        <v>0.316</v>
      </c>
      <c r="I14">
        <v>0.16</v>
      </c>
      <c r="J14">
        <v>0.52400000000000002</v>
      </c>
      <c r="K14">
        <v>0.52400000000000002</v>
      </c>
      <c r="L14" t="b">
        <f t="shared" si="0"/>
        <v>0</v>
      </c>
    </row>
    <row r="15" spans="1:12" x14ac:dyDescent="0.2">
      <c r="A15">
        <v>14</v>
      </c>
      <c r="B15" t="s">
        <v>11</v>
      </c>
      <c r="C15" t="s">
        <v>32</v>
      </c>
      <c r="D15" t="s">
        <v>20</v>
      </c>
      <c r="E15" t="s">
        <v>31</v>
      </c>
      <c r="G15" t="s">
        <v>20</v>
      </c>
      <c r="H15">
        <v>0.14000000000000001</v>
      </c>
      <c r="I15">
        <v>0.754</v>
      </c>
      <c r="J15">
        <v>0.106</v>
      </c>
      <c r="K15">
        <v>0.754</v>
      </c>
      <c r="L15" t="b">
        <f t="shared" si="0"/>
        <v>1</v>
      </c>
    </row>
    <row r="16" spans="1:12" x14ac:dyDescent="0.2">
      <c r="A16">
        <v>15</v>
      </c>
      <c r="B16" t="s">
        <v>11</v>
      </c>
      <c r="C16" t="s">
        <v>33</v>
      </c>
      <c r="D16" t="s">
        <v>20</v>
      </c>
      <c r="E16" t="s">
        <v>34</v>
      </c>
      <c r="G16" t="s">
        <v>25</v>
      </c>
      <c r="H16">
        <v>0.23200000000000001</v>
      </c>
      <c r="I16">
        <v>0.254</v>
      </c>
      <c r="J16">
        <v>0.51400000000000001</v>
      </c>
      <c r="K16">
        <v>0.51400000000000001</v>
      </c>
      <c r="L16" t="b">
        <f t="shared" si="0"/>
        <v>0</v>
      </c>
    </row>
    <row r="17" spans="1:12" x14ac:dyDescent="0.2">
      <c r="A17">
        <v>16</v>
      </c>
      <c r="B17" t="s">
        <v>35</v>
      </c>
      <c r="C17" t="s">
        <v>36</v>
      </c>
      <c r="D17" t="s">
        <v>13</v>
      </c>
      <c r="E17" t="s">
        <v>14</v>
      </c>
      <c r="G17" t="s">
        <v>13</v>
      </c>
      <c r="H17">
        <v>0.878</v>
      </c>
      <c r="I17">
        <v>0.02</v>
      </c>
      <c r="J17">
        <v>0.10199999999999999</v>
      </c>
      <c r="K17">
        <v>0.878</v>
      </c>
      <c r="L17" t="b">
        <f t="shared" si="0"/>
        <v>1</v>
      </c>
    </row>
    <row r="18" spans="1:12" x14ac:dyDescent="0.2">
      <c r="A18">
        <v>17</v>
      </c>
      <c r="B18" t="s">
        <v>35</v>
      </c>
      <c r="C18" t="s">
        <v>37</v>
      </c>
      <c r="D18" t="s">
        <v>13</v>
      </c>
      <c r="E18" t="s">
        <v>14</v>
      </c>
      <c r="G18" t="s">
        <v>13</v>
      </c>
      <c r="H18">
        <v>0.67</v>
      </c>
      <c r="I18">
        <v>0.16800000000000001</v>
      </c>
      <c r="J18">
        <v>0.16200000000000001</v>
      </c>
      <c r="K18">
        <v>0.67</v>
      </c>
      <c r="L18" t="b">
        <f t="shared" si="0"/>
        <v>1</v>
      </c>
    </row>
    <row r="19" spans="1:12" x14ac:dyDescent="0.2">
      <c r="A19">
        <v>18</v>
      </c>
      <c r="B19" t="s">
        <v>35</v>
      </c>
      <c r="C19" t="s">
        <v>38</v>
      </c>
      <c r="D19" t="s">
        <v>13</v>
      </c>
      <c r="E19" t="s">
        <v>14</v>
      </c>
      <c r="G19" t="s">
        <v>13</v>
      </c>
      <c r="H19">
        <v>0.69399999999999995</v>
      </c>
      <c r="I19">
        <v>4.3999999999999997E-2</v>
      </c>
      <c r="J19">
        <v>0.26200000000000001</v>
      </c>
      <c r="K19">
        <v>0.69399999999999995</v>
      </c>
      <c r="L19" t="b">
        <f t="shared" si="0"/>
        <v>1</v>
      </c>
    </row>
    <row r="20" spans="1:12" x14ac:dyDescent="0.2">
      <c r="A20">
        <v>19</v>
      </c>
      <c r="B20" t="s">
        <v>35</v>
      </c>
      <c r="C20" t="s">
        <v>39</v>
      </c>
      <c r="D20" t="s">
        <v>13</v>
      </c>
      <c r="E20" t="s">
        <v>14</v>
      </c>
      <c r="G20" t="s">
        <v>25</v>
      </c>
      <c r="H20">
        <v>0.214</v>
      </c>
      <c r="I20">
        <v>0.29799999999999999</v>
      </c>
      <c r="J20">
        <v>0.48799999999999999</v>
      </c>
      <c r="K20">
        <v>0.48799999999999999</v>
      </c>
      <c r="L20" t="b">
        <f t="shared" si="0"/>
        <v>0</v>
      </c>
    </row>
    <row r="21" spans="1:12" x14ac:dyDescent="0.2">
      <c r="A21">
        <v>20</v>
      </c>
      <c r="B21" t="s">
        <v>35</v>
      </c>
      <c r="C21" t="s">
        <v>40</v>
      </c>
      <c r="D21" t="s">
        <v>13</v>
      </c>
      <c r="E21" t="s">
        <v>14</v>
      </c>
      <c r="G21" t="s">
        <v>13</v>
      </c>
      <c r="H21">
        <v>0.59599999999999997</v>
      </c>
      <c r="I21">
        <v>0.29199999999999998</v>
      </c>
      <c r="J21">
        <v>0.112</v>
      </c>
      <c r="K21">
        <v>0.59599999999999997</v>
      </c>
      <c r="L21" t="b">
        <f t="shared" si="0"/>
        <v>1</v>
      </c>
    </row>
    <row r="22" spans="1:12" x14ac:dyDescent="0.2">
      <c r="A22">
        <v>21</v>
      </c>
      <c r="B22" t="s">
        <v>35</v>
      </c>
      <c r="C22" t="s">
        <v>41</v>
      </c>
      <c r="D22" t="s">
        <v>20</v>
      </c>
      <c r="E22" t="s">
        <v>21</v>
      </c>
      <c r="G22" t="s">
        <v>25</v>
      </c>
      <c r="H22">
        <v>0.29799999999999999</v>
      </c>
      <c r="I22">
        <v>0.29199999999999998</v>
      </c>
      <c r="J22">
        <v>0.41</v>
      </c>
      <c r="K22">
        <v>0.41</v>
      </c>
      <c r="L22" t="b">
        <f t="shared" si="0"/>
        <v>0</v>
      </c>
    </row>
    <row r="23" spans="1:12" x14ac:dyDescent="0.2">
      <c r="A23">
        <v>22</v>
      </c>
      <c r="B23" t="s">
        <v>35</v>
      </c>
      <c r="C23" t="s">
        <v>42</v>
      </c>
      <c r="D23" t="s">
        <v>20</v>
      </c>
      <c r="E23" t="s">
        <v>21</v>
      </c>
      <c r="G23" t="s">
        <v>20</v>
      </c>
      <c r="H23">
        <v>0.184</v>
      </c>
      <c r="I23">
        <v>0.76</v>
      </c>
      <c r="J23">
        <v>5.6000000000000001E-2</v>
      </c>
      <c r="K23">
        <v>0.76</v>
      </c>
      <c r="L23" t="b">
        <f t="shared" si="0"/>
        <v>1</v>
      </c>
    </row>
    <row r="24" spans="1:12" x14ac:dyDescent="0.2">
      <c r="A24">
        <v>23</v>
      </c>
      <c r="B24" t="s">
        <v>35</v>
      </c>
      <c r="C24" t="s">
        <v>43</v>
      </c>
      <c r="D24" t="s">
        <v>20</v>
      </c>
      <c r="E24" t="s">
        <v>21</v>
      </c>
      <c r="G24" t="s">
        <v>20</v>
      </c>
      <c r="H24">
        <v>6.4000000000000001E-2</v>
      </c>
      <c r="I24">
        <v>0.86599999999999999</v>
      </c>
      <c r="J24">
        <v>7.0000000000000007E-2</v>
      </c>
      <c r="K24">
        <v>0.86599999999999999</v>
      </c>
      <c r="L24" t="b">
        <f t="shared" si="0"/>
        <v>1</v>
      </c>
    </row>
    <row r="25" spans="1:12" x14ac:dyDescent="0.2">
      <c r="A25">
        <v>24</v>
      </c>
      <c r="B25" t="s">
        <v>35</v>
      </c>
      <c r="C25" t="s">
        <v>44</v>
      </c>
      <c r="D25" t="s">
        <v>20</v>
      </c>
      <c r="E25" t="s">
        <v>21</v>
      </c>
      <c r="G25" t="s">
        <v>25</v>
      </c>
      <c r="H25">
        <v>0.12</v>
      </c>
      <c r="I25">
        <v>0.108</v>
      </c>
      <c r="J25">
        <v>0.77200000000000002</v>
      </c>
      <c r="K25">
        <v>0.77200000000000002</v>
      </c>
      <c r="L25" t="b">
        <f t="shared" si="0"/>
        <v>0</v>
      </c>
    </row>
    <row r="26" spans="1:12" x14ac:dyDescent="0.2">
      <c r="A26">
        <v>25</v>
      </c>
      <c r="B26" t="s">
        <v>35</v>
      </c>
      <c r="C26" t="s">
        <v>45</v>
      </c>
      <c r="D26" t="s">
        <v>20</v>
      </c>
      <c r="E26" t="s">
        <v>21</v>
      </c>
      <c r="G26" t="s">
        <v>25</v>
      </c>
      <c r="H26">
        <v>0.3</v>
      </c>
      <c r="I26">
        <v>0.23799999999999999</v>
      </c>
      <c r="J26">
        <v>0.46200000000000002</v>
      </c>
      <c r="K26">
        <v>0.46200000000000002</v>
      </c>
      <c r="L26" t="b">
        <f t="shared" si="0"/>
        <v>0</v>
      </c>
    </row>
    <row r="27" spans="1:12" x14ac:dyDescent="0.2">
      <c r="A27">
        <v>26</v>
      </c>
      <c r="B27" t="s">
        <v>35</v>
      </c>
      <c r="C27" t="s">
        <v>46</v>
      </c>
      <c r="D27" t="s">
        <v>25</v>
      </c>
      <c r="E27" t="s">
        <v>28</v>
      </c>
      <c r="G27" t="s">
        <v>25</v>
      </c>
      <c r="H27">
        <v>0.158</v>
      </c>
      <c r="I27">
        <v>9.4E-2</v>
      </c>
      <c r="J27">
        <v>0.748</v>
      </c>
      <c r="K27">
        <v>0.748</v>
      </c>
      <c r="L27" t="b">
        <f t="shared" si="0"/>
        <v>1</v>
      </c>
    </row>
    <row r="28" spans="1:12" x14ac:dyDescent="0.2">
      <c r="A28">
        <v>27</v>
      </c>
      <c r="B28" t="s">
        <v>35</v>
      </c>
      <c r="C28" t="s">
        <v>47</v>
      </c>
      <c r="D28" t="s">
        <v>25</v>
      </c>
      <c r="E28" t="s">
        <v>28</v>
      </c>
      <c r="G28" t="s">
        <v>25</v>
      </c>
      <c r="H28">
        <v>0.248</v>
      </c>
      <c r="I28">
        <v>0.32</v>
      </c>
      <c r="J28">
        <v>0.432</v>
      </c>
      <c r="K28">
        <v>0.432</v>
      </c>
      <c r="L28" t="b">
        <f t="shared" si="0"/>
        <v>1</v>
      </c>
    </row>
    <row r="29" spans="1:12" x14ac:dyDescent="0.2">
      <c r="A29">
        <v>28</v>
      </c>
      <c r="B29" t="s">
        <v>35</v>
      </c>
      <c r="C29" t="s">
        <v>48</v>
      </c>
      <c r="D29" t="s">
        <v>20</v>
      </c>
      <c r="E29" t="s">
        <v>31</v>
      </c>
      <c r="G29" t="s">
        <v>13</v>
      </c>
      <c r="H29">
        <v>0.81799999999999995</v>
      </c>
      <c r="I29">
        <v>5.1999999999999998E-2</v>
      </c>
      <c r="J29">
        <v>0.13</v>
      </c>
      <c r="K29">
        <v>0.81799999999999995</v>
      </c>
      <c r="L29" t="b">
        <f t="shared" si="0"/>
        <v>0</v>
      </c>
    </row>
    <row r="30" spans="1:12" x14ac:dyDescent="0.2">
      <c r="A30">
        <v>29</v>
      </c>
      <c r="B30" t="s">
        <v>35</v>
      </c>
      <c r="C30" t="s">
        <v>49</v>
      </c>
      <c r="D30" t="s">
        <v>20</v>
      </c>
      <c r="E30" t="s">
        <v>31</v>
      </c>
      <c r="G30" t="s">
        <v>13</v>
      </c>
      <c r="H30">
        <v>0.84</v>
      </c>
      <c r="I30">
        <v>3.5999999999999997E-2</v>
      </c>
      <c r="J30">
        <v>0.124</v>
      </c>
      <c r="K30">
        <v>0.84</v>
      </c>
      <c r="L30" t="b">
        <f t="shared" si="0"/>
        <v>0</v>
      </c>
    </row>
    <row r="31" spans="1:12" x14ac:dyDescent="0.2">
      <c r="A31">
        <v>30</v>
      </c>
      <c r="B31" t="s">
        <v>35</v>
      </c>
      <c r="C31" t="s">
        <v>50</v>
      </c>
      <c r="D31" t="s">
        <v>25</v>
      </c>
      <c r="E31" t="s">
        <v>34</v>
      </c>
      <c r="G31" t="s">
        <v>20</v>
      </c>
      <c r="H31">
        <v>0.32</v>
      </c>
      <c r="I31">
        <v>0.38400000000000001</v>
      </c>
      <c r="J31">
        <v>0.29599999999999999</v>
      </c>
      <c r="K31">
        <v>0.38400000000000001</v>
      </c>
      <c r="L31" t="b">
        <f t="shared" si="0"/>
        <v>0</v>
      </c>
    </row>
    <row r="32" spans="1:12" x14ac:dyDescent="0.2">
      <c r="A32">
        <v>31</v>
      </c>
      <c r="B32" t="s">
        <v>51</v>
      </c>
      <c r="C32" t="s">
        <v>52</v>
      </c>
      <c r="D32" t="s">
        <v>13</v>
      </c>
      <c r="E32" t="s">
        <v>14</v>
      </c>
      <c r="G32" t="s">
        <v>13</v>
      </c>
      <c r="H32">
        <v>0.52</v>
      </c>
      <c r="I32">
        <v>0.14799999999999999</v>
      </c>
      <c r="J32">
        <v>0.33200000000000002</v>
      </c>
      <c r="K32">
        <v>0.52</v>
      </c>
      <c r="L32" t="b">
        <f t="shared" si="0"/>
        <v>1</v>
      </c>
    </row>
    <row r="33" spans="1:12" x14ac:dyDescent="0.2">
      <c r="A33">
        <v>32</v>
      </c>
      <c r="B33" t="s">
        <v>51</v>
      </c>
      <c r="C33" t="s">
        <v>53</v>
      </c>
      <c r="D33" t="s">
        <v>13</v>
      </c>
      <c r="E33" t="s">
        <v>14</v>
      </c>
      <c r="G33" t="s">
        <v>13</v>
      </c>
      <c r="H33">
        <v>0.93400000000000005</v>
      </c>
      <c r="I33">
        <v>1.2E-2</v>
      </c>
      <c r="J33">
        <v>5.3999999999999999E-2</v>
      </c>
      <c r="K33">
        <v>0.93400000000000005</v>
      </c>
      <c r="L33" t="b">
        <f t="shared" si="0"/>
        <v>1</v>
      </c>
    </row>
    <row r="34" spans="1:12" x14ac:dyDescent="0.2">
      <c r="A34">
        <v>33</v>
      </c>
      <c r="B34" t="s">
        <v>51</v>
      </c>
      <c r="C34" t="s">
        <v>54</v>
      </c>
      <c r="D34" t="s">
        <v>13</v>
      </c>
      <c r="E34" t="s">
        <v>14</v>
      </c>
      <c r="G34" t="s">
        <v>13</v>
      </c>
      <c r="H34">
        <v>0.66400000000000003</v>
      </c>
      <c r="I34">
        <v>0.14000000000000001</v>
      </c>
      <c r="J34">
        <v>0.19600000000000001</v>
      </c>
      <c r="K34">
        <v>0.66400000000000003</v>
      </c>
      <c r="L34" t="b">
        <f t="shared" si="0"/>
        <v>1</v>
      </c>
    </row>
    <row r="35" spans="1:12" x14ac:dyDescent="0.2">
      <c r="A35">
        <v>34</v>
      </c>
      <c r="B35" t="s">
        <v>51</v>
      </c>
      <c r="C35" t="s">
        <v>55</v>
      </c>
      <c r="D35" t="s">
        <v>13</v>
      </c>
      <c r="E35" t="s">
        <v>14</v>
      </c>
      <c r="G35" t="s">
        <v>25</v>
      </c>
      <c r="H35">
        <v>0.28599999999999998</v>
      </c>
      <c r="I35">
        <v>0.16400000000000001</v>
      </c>
      <c r="J35">
        <v>0.55000000000000004</v>
      </c>
      <c r="K35">
        <v>0.55000000000000004</v>
      </c>
      <c r="L35" t="b">
        <f t="shared" si="0"/>
        <v>0</v>
      </c>
    </row>
    <row r="36" spans="1:12" x14ac:dyDescent="0.2">
      <c r="A36">
        <v>35</v>
      </c>
      <c r="B36" t="s">
        <v>51</v>
      </c>
      <c r="C36" t="s">
        <v>56</v>
      </c>
      <c r="D36" t="s">
        <v>13</v>
      </c>
      <c r="E36" t="s">
        <v>14</v>
      </c>
      <c r="G36" t="s">
        <v>13</v>
      </c>
      <c r="H36">
        <v>0.46600000000000003</v>
      </c>
      <c r="I36">
        <v>0.10199999999999999</v>
      </c>
      <c r="J36">
        <v>0.432</v>
      </c>
      <c r="K36">
        <v>0.46600000000000003</v>
      </c>
      <c r="L36" t="b">
        <f t="shared" si="0"/>
        <v>1</v>
      </c>
    </row>
    <row r="37" spans="1:12" x14ac:dyDescent="0.2">
      <c r="A37">
        <v>36</v>
      </c>
      <c r="B37" t="s">
        <v>51</v>
      </c>
      <c r="C37" t="s">
        <v>57</v>
      </c>
      <c r="D37" t="s">
        <v>20</v>
      </c>
      <c r="E37" t="s">
        <v>21</v>
      </c>
      <c r="G37" t="s">
        <v>20</v>
      </c>
      <c r="H37">
        <v>0.19</v>
      </c>
      <c r="I37">
        <v>0.55200000000000005</v>
      </c>
      <c r="J37">
        <v>0.25800000000000001</v>
      </c>
      <c r="K37">
        <v>0.55200000000000005</v>
      </c>
      <c r="L37" t="b">
        <f t="shared" si="0"/>
        <v>1</v>
      </c>
    </row>
    <row r="38" spans="1:12" x14ac:dyDescent="0.2">
      <c r="A38">
        <v>37</v>
      </c>
      <c r="B38" t="s">
        <v>51</v>
      </c>
      <c r="C38" t="s">
        <v>58</v>
      </c>
      <c r="D38" t="s">
        <v>20</v>
      </c>
      <c r="E38" t="s">
        <v>21</v>
      </c>
      <c r="G38" t="s">
        <v>20</v>
      </c>
      <c r="H38">
        <v>0.218</v>
      </c>
      <c r="I38">
        <v>0.52800000000000002</v>
      </c>
      <c r="J38">
        <v>0.254</v>
      </c>
      <c r="K38">
        <v>0.52800000000000002</v>
      </c>
      <c r="L38" t="b">
        <f t="shared" si="0"/>
        <v>1</v>
      </c>
    </row>
    <row r="39" spans="1:12" x14ac:dyDescent="0.2">
      <c r="A39">
        <v>38</v>
      </c>
      <c r="B39" t="s">
        <v>51</v>
      </c>
      <c r="C39" t="s">
        <v>59</v>
      </c>
      <c r="D39" t="s">
        <v>20</v>
      </c>
      <c r="E39" t="s">
        <v>21</v>
      </c>
      <c r="G39" t="s">
        <v>25</v>
      </c>
      <c r="H39">
        <v>0.32</v>
      </c>
      <c r="I39">
        <v>9.1999999999999998E-2</v>
      </c>
      <c r="J39">
        <v>0.58799999999999997</v>
      </c>
      <c r="K39">
        <v>0.58799999999999997</v>
      </c>
      <c r="L39" t="b">
        <f t="shared" si="0"/>
        <v>0</v>
      </c>
    </row>
    <row r="40" spans="1:12" x14ac:dyDescent="0.2">
      <c r="A40">
        <v>39</v>
      </c>
      <c r="B40" t="s">
        <v>51</v>
      </c>
      <c r="C40" t="s">
        <v>60</v>
      </c>
      <c r="D40" t="s">
        <v>20</v>
      </c>
      <c r="E40" t="s">
        <v>21</v>
      </c>
      <c r="G40" t="s">
        <v>20</v>
      </c>
      <c r="H40">
        <v>5.3999999999999999E-2</v>
      </c>
      <c r="I40">
        <v>0.878</v>
      </c>
      <c r="J40">
        <v>6.8000000000000005E-2</v>
      </c>
      <c r="K40">
        <v>0.878</v>
      </c>
      <c r="L40" t="b">
        <f t="shared" si="0"/>
        <v>1</v>
      </c>
    </row>
    <row r="41" spans="1:12" x14ac:dyDescent="0.2">
      <c r="A41">
        <v>40</v>
      </c>
      <c r="B41" t="s">
        <v>51</v>
      </c>
      <c r="C41" t="s">
        <v>61</v>
      </c>
      <c r="D41" t="s">
        <v>20</v>
      </c>
      <c r="E41" t="s">
        <v>21</v>
      </c>
      <c r="G41" t="s">
        <v>25</v>
      </c>
      <c r="H41">
        <v>0.29599999999999999</v>
      </c>
      <c r="I41">
        <v>0.28399999999999997</v>
      </c>
      <c r="J41">
        <v>0.42</v>
      </c>
      <c r="K41">
        <v>0.42</v>
      </c>
      <c r="L41" t="b">
        <f t="shared" si="0"/>
        <v>0</v>
      </c>
    </row>
    <row r="42" spans="1:12" x14ac:dyDescent="0.2">
      <c r="A42">
        <v>41</v>
      </c>
      <c r="B42" t="s">
        <v>51</v>
      </c>
      <c r="C42" t="s">
        <v>62</v>
      </c>
      <c r="D42" t="s">
        <v>25</v>
      </c>
      <c r="E42" t="s">
        <v>28</v>
      </c>
      <c r="G42" t="s">
        <v>25</v>
      </c>
      <c r="H42">
        <v>0.22600000000000001</v>
      </c>
      <c r="I42">
        <v>0.158</v>
      </c>
      <c r="J42">
        <v>0.61599999999999999</v>
      </c>
      <c r="K42">
        <v>0.61599999999999999</v>
      </c>
      <c r="L42" t="b">
        <f t="shared" si="0"/>
        <v>1</v>
      </c>
    </row>
    <row r="43" spans="1:12" x14ac:dyDescent="0.2">
      <c r="A43">
        <v>42</v>
      </c>
      <c r="B43" t="s">
        <v>51</v>
      </c>
      <c r="C43" t="s">
        <v>63</v>
      </c>
      <c r="D43" t="s">
        <v>25</v>
      </c>
      <c r="E43" t="s">
        <v>28</v>
      </c>
      <c r="G43" t="s">
        <v>25</v>
      </c>
      <c r="H43">
        <v>5.8000000000000003E-2</v>
      </c>
      <c r="I43">
        <v>2.1999999999999999E-2</v>
      </c>
      <c r="J43">
        <v>0.92</v>
      </c>
      <c r="K43">
        <v>0.92</v>
      </c>
      <c r="L43" t="b">
        <f t="shared" si="0"/>
        <v>1</v>
      </c>
    </row>
    <row r="44" spans="1:12" x14ac:dyDescent="0.2">
      <c r="A44">
        <v>43</v>
      </c>
      <c r="B44" t="s">
        <v>51</v>
      </c>
      <c r="C44" t="s">
        <v>64</v>
      </c>
      <c r="D44" t="s">
        <v>20</v>
      </c>
      <c r="E44" t="s">
        <v>31</v>
      </c>
      <c r="G44" t="s">
        <v>13</v>
      </c>
      <c r="H44">
        <v>0.78</v>
      </c>
      <c r="I44">
        <v>0.11</v>
      </c>
      <c r="J44">
        <v>0.11</v>
      </c>
      <c r="K44">
        <v>0.78</v>
      </c>
      <c r="L44" t="b">
        <f t="shared" si="0"/>
        <v>0</v>
      </c>
    </row>
    <row r="45" spans="1:12" x14ac:dyDescent="0.2">
      <c r="A45">
        <v>44</v>
      </c>
      <c r="B45" t="s">
        <v>51</v>
      </c>
      <c r="C45" t="s">
        <v>65</v>
      </c>
      <c r="D45" t="s">
        <v>20</v>
      </c>
      <c r="E45" t="s">
        <v>31</v>
      </c>
      <c r="G45" t="s">
        <v>13</v>
      </c>
      <c r="H45">
        <v>0.59399999999999997</v>
      </c>
      <c r="I45">
        <v>9.1999999999999998E-2</v>
      </c>
      <c r="J45">
        <v>0.314</v>
      </c>
      <c r="K45">
        <v>0.59399999999999997</v>
      </c>
      <c r="L45" t="b">
        <f t="shared" si="0"/>
        <v>0</v>
      </c>
    </row>
    <row r="46" spans="1:12" x14ac:dyDescent="0.2">
      <c r="A46">
        <v>45</v>
      </c>
      <c r="B46" t="s">
        <v>51</v>
      </c>
      <c r="C46" t="s">
        <v>66</v>
      </c>
      <c r="D46" t="s">
        <v>25</v>
      </c>
      <c r="E46" t="s">
        <v>34</v>
      </c>
      <c r="G46" t="s">
        <v>25</v>
      </c>
      <c r="H46">
        <v>0.38800000000000001</v>
      </c>
      <c r="I46">
        <v>0.17399999999999999</v>
      </c>
      <c r="J46">
        <v>0.438</v>
      </c>
      <c r="K46">
        <v>0.438</v>
      </c>
      <c r="L46" t="b">
        <f t="shared" si="0"/>
        <v>1</v>
      </c>
    </row>
    <row r="47" spans="1:12" x14ac:dyDescent="0.2">
      <c r="A47">
        <v>46</v>
      </c>
      <c r="B47" t="s">
        <v>67</v>
      </c>
      <c r="C47" t="s">
        <v>68</v>
      </c>
      <c r="D47" t="s">
        <v>13</v>
      </c>
      <c r="E47" t="s">
        <v>14</v>
      </c>
      <c r="G47" t="s">
        <v>13</v>
      </c>
      <c r="H47">
        <v>0.94799999999999995</v>
      </c>
      <c r="I47">
        <v>0</v>
      </c>
      <c r="J47">
        <v>5.1999999999999998E-2</v>
      </c>
      <c r="K47">
        <v>0.94799999999999995</v>
      </c>
      <c r="L47" t="b">
        <f t="shared" si="0"/>
        <v>1</v>
      </c>
    </row>
    <row r="48" spans="1:12" x14ac:dyDescent="0.2">
      <c r="A48">
        <v>47</v>
      </c>
      <c r="B48" t="s">
        <v>67</v>
      </c>
      <c r="C48" t="s">
        <v>69</v>
      </c>
      <c r="D48" t="s">
        <v>13</v>
      </c>
      <c r="E48" t="s">
        <v>14</v>
      </c>
      <c r="G48" t="s">
        <v>13</v>
      </c>
      <c r="H48">
        <v>0.874</v>
      </c>
      <c r="I48">
        <v>3.2000000000000001E-2</v>
      </c>
      <c r="J48">
        <v>9.4E-2</v>
      </c>
      <c r="K48">
        <v>0.874</v>
      </c>
      <c r="L48" t="b">
        <f t="shared" si="0"/>
        <v>1</v>
      </c>
    </row>
    <row r="49" spans="1:12" x14ac:dyDescent="0.2">
      <c r="A49">
        <v>48</v>
      </c>
      <c r="B49" t="s">
        <v>67</v>
      </c>
      <c r="C49" t="s">
        <v>70</v>
      </c>
      <c r="D49" t="s">
        <v>13</v>
      </c>
      <c r="E49" t="s">
        <v>14</v>
      </c>
      <c r="G49" t="s">
        <v>25</v>
      </c>
      <c r="H49">
        <v>0.17599999999999999</v>
      </c>
      <c r="I49">
        <v>1.6E-2</v>
      </c>
      <c r="J49">
        <v>0.80800000000000005</v>
      </c>
      <c r="K49">
        <v>0.80800000000000005</v>
      </c>
      <c r="L49" t="b">
        <f t="shared" si="0"/>
        <v>0</v>
      </c>
    </row>
    <row r="50" spans="1:12" x14ac:dyDescent="0.2">
      <c r="A50">
        <v>49</v>
      </c>
      <c r="B50" t="s">
        <v>67</v>
      </c>
      <c r="C50" t="s">
        <v>71</v>
      </c>
      <c r="D50" t="s">
        <v>13</v>
      </c>
      <c r="E50" t="s">
        <v>14</v>
      </c>
      <c r="G50" t="s">
        <v>13</v>
      </c>
      <c r="H50">
        <v>0.498</v>
      </c>
      <c r="I50">
        <v>0.28399999999999997</v>
      </c>
      <c r="J50">
        <v>0.218</v>
      </c>
      <c r="K50">
        <v>0.498</v>
      </c>
      <c r="L50" t="b">
        <f t="shared" si="0"/>
        <v>1</v>
      </c>
    </row>
    <row r="51" spans="1:12" x14ac:dyDescent="0.2">
      <c r="A51">
        <v>50</v>
      </c>
      <c r="B51" t="s">
        <v>67</v>
      </c>
      <c r="C51" t="s">
        <v>72</v>
      </c>
      <c r="D51" t="s">
        <v>13</v>
      </c>
      <c r="E51" t="s">
        <v>14</v>
      </c>
      <c r="G51" t="s">
        <v>13</v>
      </c>
      <c r="H51">
        <v>0.52800000000000002</v>
      </c>
      <c r="I51">
        <v>0.1</v>
      </c>
      <c r="J51">
        <v>0.372</v>
      </c>
      <c r="K51">
        <v>0.52800000000000002</v>
      </c>
      <c r="L51" t="b">
        <f t="shared" si="0"/>
        <v>1</v>
      </c>
    </row>
    <row r="52" spans="1:12" x14ac:dyDescent="0.2">
      <c r="A52">
        <v>51</v>
      </c>
      <c r="B52" t="s">
        <v>67</v>
      </c>
      <c r="C52" t="s">
        <v>73</v>
      </c>
      <c r="D52" t="s">
        <v>20</v>
      </c>
      <c r="E52" t="s">
        <v>21</v>
      </c>
      <c r="G52" t="s">
        <v>20</v>
      </c>
      <c r="H52">
        <v>8.0000000000000002E-3</v>
      </c>
      <c r="I52">
        <v>0.94</v>
      </c>
      <c r="J52">
        <v>5.1999999999999998E-2</v>
      </c>
      <c r="K52">
        <v>0.94</v>
      </c>
      <c r="L52" t="b">
        <f t="shared" si="0"/>
        <v>1</v>
      </c>
    </row>
    <row r="53" spans="1:12" x14ac:dyDescent="0.2">
      <c r="A53">
        <v>52</v>
      </c>
      <c r="B53" t="s">
        <v>67</v>
      </c>
      <c r="C53" t="s">
        <v>74</v>
      </c>
      <c r="D53" t="s">
        <v>20</v>
      </c>
      <c r="E53" t="s">
        <v>21</v>
      </c>
      <c r="G53" t="s">
        <v>20</v>
      </c>
      <c r="H53">
        <v>5.8000000000000003E-2</v>
      </c>
      <c r="I53">
        <v>0.89200000000000002</v>
      </c>
      <c r="J53">
        <v>0.05</v>
      </c>
      <c r="K53">
        <v>0.89200000000000002</v>
      </c>
      <c r="L53" t="b">
        <f t="shared" si="0"/>
        <v>1</v>
      </c>
    </row>
    <row r="54" spans="1:12" x14ac:dyDescent="0.2">
      <c r="A54">
        <v>53</v>
      </c>
      <c r="B54" t="s">
        <v>67</v>
      </c>
      <c r="C54" t="s">
        <v>75</v>
      </c>
      <c r="D54" t="s">
        <v>20</v>
      </c>
      <c r="E54" t="s">
        <v>21</v>
      </c>
      <c r="G54" t="s">
        <v>20</v>
      </c>
      <c r="H54">
        <v>8.5999999999999993E-2</v>
      </c>
      <c r="I54">
        <v>0.55200000000000005</v>
      </c>
      <c r="J54">
        <v>0.36199999999999999</v>
      </c>
      <c r="K54">
        <v>0.55200000000000005</v>
      </c>
      <c r="L54" t="b">
        <f t="shared" si="0"/>
        <v>1</v>
      </c>
    </row>
    <row r="55" spans="1:12" x14ac:dyDescent="0.2">
      <c r="A55">
        <v>54</v>
      </c>
      <c r="B55" t="s">
        <v>67</v>
      </c>
      <c r="C55" t="s">
        <v>76</v>
      </c>
      <c r="D55" t="s">
        <v>20</v>
      </c>
      <c r="E55" t="s">
        <v>21</v>
      </c>
      <c r="G55" t="s">
        <v>25</v>
      </c>
      <c r="H55">
        <v>0.36599999999999999</v>
      </c>
      <c r="I55">
        <v>0.154</v>
      </c>
      <c r="J55">
        <v>0.48</v>
      </c>
      <c r="K55">
        <v>0.48</v>
      </c>
      <c r="L55" t="b">
        <f t="shared" si="0"/>
        <v>0</v>
      </c>
    </row>
    <row r="56" spans="1:12" x14ac:dyDescent="0.2">
      <c r="A56">
        <v>55</v>
      </c>
      <c r="B56" t="s">
        <v>67</v>
      </c>
      <c r="C56" t="s">
        <v>77</v>
      </c>
      <c r="D56" t="s">
        <v>20</v>
      </c>
      <c r="E56" t="s">
        <v>21</v>
      </c>
      <c r="G56" t="s">
        <v>25</v>
      </c>
      <c r="H56">
        <v>0.24199999999999999</v>
      </c>
      <c r="I56">
        <v>0.26600000000000001</v>
      </c>
      <c r="J56">
        <v>0.49199999999999999</v>
      </c>
      <c r="K56">
        <v>0.49199999999999999</v>
      </c>
      <c r="L56" t="b">
        <f t="shared" si="0"/>
        <v>0</v>
      </c>
    </row>
    <row r="57" spans="1:12" x14ac:dyDescent="0.2">
      <c r="A57">
        <v>56</v>
      </c>
      <c r="B57" t="s">
        <v>67</v>
      </c>
      <c r="C57" t="s">
        <v>78</v>
      </c>
      <c r="D57" t="s">
        <v>25</v>
      </c>
      <c r="E57" t="s">
        <v>28</v>
      </c>
      <c r="G57" t="s">
        <v>25</v>
      </c>
      <c r="H57">
        <v>0.108</v>
      </c>
      <c r="I57">
        <v>8.2000000000000003E-2</v>
      </c>
      <c r="J57">
        <v>0.81</v>
      </c>
      <c r="K57">
        <v>0.81</v>
      </c>
      <c r="L57" t="b">
        <f t="shared" si="0"/>
        <v>1</v>
      </c>
    </row>
    <row r="58" spans="1:12" x14ac:dyDescent="0.2">
      <c r="A58">
        <v>57</v>
      </c>
      <c r="B58" t="s">
        <v>67</v>
      </c>
      <c r="C58" t="s">
        <v>79</v>
      </c>
      <c r="D58" t="s">
        <v>25</v>
      </c>
      <c r="E58" t="s">
        <v>28</v>
      </c>
      <c r="G58" t="s">
        <v>20</v>
      </c>
      <c r="H58">
        <v>0.104</v>
      </c>
      <c r="I58">
        <v>0.72399999999999998</v>
      </c>
      <c r="J58">
        <v>0.17199999999999999</v>
      </c>
      <c r="K58">
        <v>0.72399999999999998</v>
      </c>
      <c r="L58" t="b">
        <f t="shared" si="0"/>
        <v>0</v>
      </c>
    </row>
    <row r="59" spans="1:12" x14ac:dyDescent="0.2">
      <c r="A59">
        <v>58</v>
      </c>
      <c r="B59" t="s">
        <v>67</v>
      </c>
      <c r="C59" t="s">
        <v>80</v>
      </c>
      <c r="D59" t="s">
        <v>20</v>
      </c>
      <c r="E59" t="s">
        <v>31</v>
      </c>
      <c r="G59" t="s">
        <v>25</v>
      </c>
      <c r="H59">
        <v>0.39600000000000002</v>
      </c>
      <c r="I59">
        <v>0.14399999999999999</v>
      </c>
      <c r="J59">
        <v>0.46</v>
      </c>
      <c r="K59">
        <v>0.46</v>
      </c>
      <c r="L59" t="b">
        <f t="shared" si="0"/>
        <v>0</v>
      </c>
    </row>
    <row r="60" spans="1:12" x14ac:dyDescent="0.2">
      <c r="A60">
        <v>59</v>
      </c>
      <c r="B60" t="s">
        <v>67</v>
      </c>
      <c r="C60" t="s">
        <v>81</v>
      </c>
      <c r="D60" t="s">
        <v>20</v>
      </c>
      <c r="E60" t="s">
        <v>31</v>
      </c>
      <c r="G60" t="s">
        <v>13</v>
      </c>
      <c r="H60">
        <v>0.57199999999999995</v>
      </c>
      <c r="I60">
        <v>7.1999999999999995E-2</v>
      </c>
      <c r="J60">
        <v>0.35599999999999998</v>
      </c>
      <c r="K60">
        <v>0.57199999999999995</v>
      </c>
      <c r="L60" t="b">
        <f t="shared" si="0"/>
        <v>0</v>
      </c>
    </row>
    <row r="61" spans="1:12" x14ac:dyDescent="0.2">
      <c r="A61">
        <v>60</v>
      </c>
      <c r="B61" t="s">
        <v>67</v>
      </c>
      <c r="C61" t="s">
        <v>82</v>
      </c>
      <c r="D61" t="s">
        <v>20</v>
      </c>
      <c r="E61" t="s">
        <v>34</v>
      </c>
      <c r="G61" t="s">
        <v>25</v>
      </c>
      <c r="H61">
        <v>0.36</v>
      </c>
      <c r="I61">
        <v>0.108</v>
      </c>
      <c r="J61">
        <v>0.53200000000000003</v>
      </c>
      <c r="K61">
        <v>0.53200000000000003</v>
      </c>
      <c r="L61" t="b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83</v>
      </c>
      <c r="B1" s="1" t="s">
        <v>84</v>
      </c>
      <c r="C1" s="1" t="s">
        <v>85</v>
      </c>
    </row>
    <row r="2" spans="1:3" x14ac:dyDescent="0.2">
      <c r="A2">
        <v>0.6333333333333333</v>
      </c>
      <c r="B2">
        <v>60</v>
      </c>
      <c r="C2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3</v>
      </c>
      <c r="B1" s="1" t="s">
        <v>20</v>
      </c>
      <c r="C1" s="1" t="s">
        <v>25</v>
      </c>
      <c r="D1" s="1" t="s">
        <v>13</v>
      </c>
    </row>
    <row r="2" spans="1:4" x14ac:dyDescent="0.2">
      <c r="A2" t="s">
        <v>20</v>
      </c>
      <c r="B2">
        <v>13</v>
      </c>
      <c r="C2">
        <v>12</v>
      </c>
      <c r="D2">
        <v>5</v>
      </c>
    </row>
    <row r="3" spans="1:4" x14ac:dyDescent="0.2">
      <c r="A3" t="s">
        <v>25</v>
      </c>
      <c r="B3">
        <v>2</v>
      </c>
      <c r="C3">
        <v>8</v>
      </c>
      <c r="D3">
        <v>0</v>
      </c>
    </row>
    <row r="4" spans="1:4" x14ac:dyDescent="0.2">
      <c r="A4" t="s">
        <v>13</v>
      </c>
      <c r="B4">
        <v>0</v>
      </c>
      <c r="C4">
        <v>3</v>
      </c>
      <c r="D4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3</v>
      </c>
      <c r="B1" s="1" t="s">
        <v>84</v>
      </c>
      <c r="C1" s="1" t="s">
        <v>85</v>
      </c>
      <c r="D1" s="1" t="s">
        <v>86</v>
      </c>
    </row>
    <row r="2" spans="1:4" x14ac:dyDescent="0.2">
      <c r="A2" t="s">
        <v>20</v>
      </c>
      <c r="B2">
        <v>30</v>
      </c>
      <c r="C2">
        <v>13</v>
      </c>
      <c r="D2">
        <v>0.43333333333333329</v>
      </c>
    </row>
    <row r="3" spans="1:4" x14ac:dyDescent="0.2">
      <c r="A3" t="s">
        <v>25</v>
      </c>
      <c r="B3">
        <v>10</v>
      </c>
      <c r="C3">
        <v>8</v>
      </c>
      <c r="D3">
        <v>0.8</v>
      </c>
    </row>
    <row r="4" spans="1:4" x14ac:dyDescent="0.2">
      <c r="A4" t="s">
        <v>13</v>
      </c>
      <c r="B4">
        <v>20</v>
      </c>
      <c r="C4">
        <v>17</v>
      </c>
      <c r="D4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</vt:lpstr>
      <vt:lpstr>accuracy</vt:lpstr>
      <vt:lpstr>matriz_confusion</vt:lpstr>
      <vt:lpstr>metricas_clase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Juvenal Campos Ferreira</cp:lastModifiedBy>
  <dcterms:created xsi:type="dcterms:W3CDTF">2025-11-04T14:43:10Z</dcterms:created>
  <dcterms:modified xsi:type="dcterms:W3CDTF">2025-11-04T17:21:49Z</dcterms:modified>
</cp:coreProperties>
</file>